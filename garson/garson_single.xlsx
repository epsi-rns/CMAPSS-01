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rson Algorith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<sst xmlns="http://schemas.openxmlformats.org/spreadsheetml/2006/main" count="38" uniqueCount="24">
  <si>
    <t xml:space="preserve">Garson's Algorithm — Neural Network Variable Importance</t>
  </si>
  <si>
    <t xml:space="preserve">WEIGHTS</t>
  </si>
  <si>
    <t xml:space="preserve">STEP 1 — CW</t>
  </si>
  <si>
    <t xml:space="preserve">STEP 2 — RC</t>
  </si>
  <si>
    <t xml:space="preserve">STEP 3 — RESULT</t>
  </si>
  <si>
    <t xml:space="preserve">Edit blue cells</t>
  </si>
  <si>
    <t xml:space="preserve">|W_ih| × |W_ho|</t>
  </si>
  <si>
    <t xml:space="preserve">Normalize columns</t>
  </si>
  <si>
    <t xml:space="preserve">Row sum → normalize</t>
  </si>
  <si>
    <t xml:space="preserve">H1</t>
  </si>
  <si>
    <t xml:space="preserve">H2</t>
  </si>
  <si>
    <t xml:space="preserve">Input</t>
  </si>
  <si>
    <t xml:space="preserve">Row sum S</t>
  </si>
  <si>
    <t xml:space="preserve">Importance</t>
  </si>
  <si>
    <t xml:space="preserve">Rank</t>
  </si>
  <si>
    <t xml:space="preserve">Visual</t>
  </si>
  <si>
    <t xml:space="preserve">X1</t>
  </si>
  <si>
    <t xml:space="preserve">X2</t>
  </si>
  <si>
    <t xml:space="preserve">X3</t>
  </si>
  <si>
    <t xml:space="preserve">Col sum</t>
  </si>
  <si>
    <t xml:space="preserve">Col sum ✓</t>
  </si>
  <si>
    <t xml:space="preserve">W_ho (output)</t>
  </si>
  <si>
    <t xml:space="preserve">Total</t>
  </si>
  <si>
    <t xml:space="preserve">Blue cells = inputs (W_ih in B6:D8, W_ho in C10:D10). Change any weight — all columns recalculate instantly. Garson (1991): importance is absolute magnitude; direction of effect cannot be determined.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</si>
</sst>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%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7F77DD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2C2C2A"/>
      <name val="Arial"/>
      <family val="0"/>
      <charset val="1"/>
    </font>
    <font>
      <b val="true"/>
      <sz val="11"/>
      <color rgb="FF2C2C2A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10"/>
      <color rgb="FF2C2C2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C3489"/>
        <bgColor rgb="FF2C2C2A"/>
      </patternFill>
    </fill>
    <fill>
      <patternFill patternType="solid">
        <fgColor rgb="FFEEEDFE"/>
        <bgColor rgb="FFEEF3FF"/>
      </patternFill>
    </fill>
    <fill>
      <patternFill patternType="solid">
        <fgColor rgb="FFEEF3FF"/>
        <bgColor rgb="FFEEEDFE"/>
      </patternFill>
    </fill>
    <fill>
      <patternFill patternType="solid">
        <fgColor rgb="FFF9F8FF"/>
        <bgColor rgb="FFF0FBF6"/>
      </patternFill>
    </fill>
    <fill>
      <patternFill patternType="solid">
        <fgColor rgb="FFF0FBF6"/>
        <bgColor rgb="FFF9F8FF"/>
      </patternFill>
    </fill>
    <fill>
      <patternFill patternType="solid">
        <fgColor rgb="FFF1EFE8"/>
        <bgColor rgb="FFFAECE7"/>
      </patternFill>
    </fill>
    <fill>
      <patternFill patternType="solid">
        <fgColor rgb="FFE1F5EE"/>
        <bgColor rgb="FFEEF3FF"/>
      </patternFill>
    </fill>
    <fill>
      <patternFill patternType="solid">
        <fgColor rgb="FFFAECE7"/>
        <bgColor rgb="FFF1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780"/>
      <rgbColor rgb="FF9999FF"/>
      <rgbColor rgb="FF993366"/>
      <rgbColor rgb="FFF0FBF6"/>
      <rgbColor rgb="FFE1F5EE"/>
      <rgbColor rgb="FF660066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F"/>
      <rgbColor rgb="FFF1EFE8"/>
      <rgbColor rgb="FFFAECE7"/>
      <rgbColor rgb="FF99CCFF"/>
      <rgbColor rgb="FFFF99CC"/>
      <rgbColor rgb="FFCC99FF"/>
      <rgbColor rgb="FFF9F8FF"/>
      <rgbColor rgb="FF3366FF"/>
      <rgbColor rgb="FF33CCCC"/>
      <rgbColor rgb="FF99CC00"/>
      <rgbColor rgb="FFFFCC00"/>
      <rgbColor rgb="FFFF9900"/>
      <rgbColor rgb="FFD85A30"/>
      <rgbColor rgb="FF7F77DD"/>
      <rgbColor rgb="FF969696"/>
      <rgbColor rgb="FF003366"/>
      <rgbColor rgb="FF1D9E75"/>
      <rgbColor rgb="FF003300"/>
      <rgbColor rgb="FF333300"/>
      <rgbColor rgb="FF993300"/>
      <rgbColor rgb="FF993366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2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2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2"/>
    <col collapsed="false" customWidth="true" hidden="false" outlineLevel="0" max="14" min="14" style="0" width="12"/>
    <col collapsed="false" customWidth="true" hidden="false" outlineLevel="0" max="16" min="15" style="0" width="11"/>
    <col collapsed="false" customWidth="true" hidden="false" outlineLevel="0" max="17" min="17" style="0" width="7"/>
    <col collapsed="false" customWidth="true" hidden="false" outlineLevel="0" max="18" min="18" style="0" width="2"/>
    <col collapsed="false" customWidth="true" hidden="false" outlineLevel="0" max="19" min="19" style="0" width="22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1.75" hidden="false" customHeight="true" outlineLevel="0" collapsed="false">
      <c r="B3" s="2" t="s">
        <v>1</v>
      </c>
      <c r="C3" s="2"/>
      <c r="D3" s="2"/>
      <c r="F3" s="2" t="s">
        <v>2</v>
      </c>
      <c r="G3" s="2"/>
      <c r="H3" s="2"/>
      <c r="J3" s="2" t="s">
        <v>3</v>
      </c>
      <c r="K3" s="2"/>
      <c r="L3" s="2"/>
      <c r="N3" s="2" t="s">
        <v>4</v>
      </c>
      <c r="O3" s="2"/>
      <c r="P3" s="2"/>
      <c r="Q3" s="2"/>
      <c r="R3" s="2"/>
      <c r="S3" s="2"/>
    </row>
    <row r="4" customFormat="false" ht="13.5" hidden="false" customHeight="true" outlineLevel="0" collapsed="false">
      <c r="B4" s="3" t="s">
        <v>5</v>
      </c>
      <c r="C4" s="3"/>
      <c r="D4" s="3"/>
      <c r="F4" s="3" t="s">
        <v>6</v>
      </c>
      <c r="G4" s="3"/>
      <c r="H4" s="3"/>
      <c r="J4" s="3" t="s">
        <v>7</v>
      </c>
      <c r="K4" s="3"/>
      <c r="L4" s="3"/>
      <c r="N4" s="3" t="s">
        <v>8</v>
      </c>
      <c r="O4" s="3"/>
      <c r="P4" s="3"/>
      <c r="Q4" s="3"/>
      <c r="R4" s="3"/>
      <c r="S4" s="3"/>
    </row>
    <row r="5" customFormat="false" ht="19.5" hidden="false" customHeight="true" outlineLevel="0" collapsed="false">
      <c r="B5" s="4"/>
      <c r="C5" s="4" t="s">
        <v>9</v>
      </c>
      <c r="D5" s="4" t="s">
        <v>10</v>
      </c>
      <c r="F5" s="4"/>
      <c r="G5" s="4" t="s">
        <v>9</v>
      </c>
      <c r="H5" s="4" t="s">
        <v>10</v>
      </c>
      <c r="J5" s="4"/>
      <c r="K5" s="4" t="s">
        <v>9</v>
      </c>
      <c r="L5" s="4" t="s">
        <v>10</v>
      </c>
      <c r="N5" s="4" t="s">
        <v>11</v>
      </c>
      <c r="O5" s="4" t="s">
        <v>12</v>
      </c>
      <c r="P5" s="4" t="s">
        <v>13</v>
      </c>
      <c r="Q5" s="4" t="s">
        <v>14</v>
      </c>
      <c r="R5" s="4"/>
      <c r="S5" s="4" t="s">
        <v>15</v>
      </c>
    </row>
    <row r="6" customFormat="false" ht="21.75" hidden="false" customHeight="true" outlineLevel="0" collapsed="false">
      <c r="B6" s="5" t="s">
        <v>16</v>
      </c>
      <c r="C6" s="6" t="n">
        <v>0.8</v>
      </c>
      <c r="D6" s="6" t="n">
        <v>-0.3</v>
      </c>
      <c r="F6" s="5" t="s">
        <v>16</v>
      </c>
      <c r="G6" s="7" t="n">
        <f aca="false">ABS(C6)*ABS(C10)</f>
        <v>0.56</v>
      </c>
      <c r="H6" s="7" t="n">
        <f aca="false">ABS(D6)*ABS(D10)</f>
        <v>0.18</v>
      </c>
      <c r="J6" s="5" t="s">
        <v>16</v>
      </c>
      <c r="K6" s="8" t="n">
        <f aca="false">IF(G9=0,0,G6/G9)</f>
        <v>0.571428571428571</v>
      </c>
      <c r="L6" s="8" t="n">
        <f aca="false">IF(H9=0,0,H6/H9)</f>
        <v>0.214285714285714</v>
      </c>
      <c r="N6" s="5" t="s">
        <v>16</v>
      </c>
      <c r="O6" s="7" t="n">
        <f aca="false">SUM(K6:L6)</f>
        <v>0.785714285714286</v>
      </c>
      <c r="P6" s="9" t="n">
        <f aca="false">IF(SUM(O$6:O$8)=0,0,O6/SUM(O$6:O$8))</f>
        <v>0.392857142857143</v>
      </c>
      <c r="Q6" s="10" t="n">
        <f aca="false">RANK(P6,P$6:P$8,0)</f>
        <v>1</v>
      </c>
      <c r="R6" s="11"/>
      <c r="S6" s="12" t="n">
        <f aca="false">P6</f>
        <v>0.392857142857143</v>
      </c>
    </row>
    <row r="7" customFormat="false" ht="21.75" hidden="false" customHeight="true" outlineLevel="0" collapsed="false">
      <c r="B7" s="13" t="s">
        <v>17</v>
      </c>
      <c r="C7" s="6" t="n">
        <v>0.1</v>
      </c>
      <c r="D7" s="6" t="n">
        <v>0.9</v>
      </c>
      <c r="F7" s="13" t="s">
        <v>17</v>
      </c>
      <c r="G7" s="7" t="n">
        <f aca="false">ABS(C7)*ABS(C10)</f>
        <v>0.07</v>
      </c>
      <c r="H7" s="7" t="n">
        <f aca="false">ABS(D7)*ABS(D10)</f>
        <v>0.54</v>
      </c>
      <c r="J7" s="13" t="s">
        <v>17</v>
      </c>
      <c r="K7" s="8" t="n">
        <f aca="false">IF(G9=0,0,G7/G9)</f>
        <v>0.0714285714285714</v>
      </c>
      <c r="L7" s="8" t="n">
        <f aca="false">IF(H9=0,0,H7/H9)</f>
        <v>0.642857142857143</v>
      </c>
      <c r="N7" s="13" t="s">
        <v>17</v>
      </c>
      <c r="O7" s="7" t="n">
        <f aca="false">SUM(K7:L7)</f>
        <v>0.714285714285714</v>
      </c>
      <c r="P7" s="14" t="n">
        <f aca="false">IF(SUM(O$6:O$8)=0,0,O7/SUM(O$6:O$8))</f>
        <v>0.357142857142857</v>
      </c>
      <c r="Q7" s="10" t="n">
        <f aca="false">RANK(P7,P$6:P$8,0)</f>
        <v>2</v>
      </c>
      <c r="R7" s="11"/>
      <c r="S7" s="15" t="n">
        <f aca="false">P7</f>
        <v>0.357142857142857</v>
      </c>
    </row>
    <row r="8" customFormat="false" ht="21.75" hidden="false" customHeight="true" outlineLevel="0" collapsed="false">
      <c r="B8" s="16" t="s">
        <v>18</v>
      </c>
      <c r="C8" s="6" t="n">
        <v>-0.5</v>
      </c>
      <c r="D8" s="6" t="n">
        <v>0.2</v>
      </c>
      <c r="F8" s="16" t="s">
        <v>18</v>
      </c>
      <c r="G8" s="7" t="n">
        <f aca="false">ABS(C8)*ABS(C10)</f>
        <v>0.35</v>
      </c>
      <c r="H8" s="7" t="n">
        <f aca="false">ABS(D8)*ABS(D10)</f>
        <v>0.12</v>
      </c>
      <c r="J8" s="16" t="s">
        <v>18</v>
      </c>
      <c r="K8" s="8" t="n">
        <f aca="false">IF(G9=0,0,G8/G9)</f>
        <v>0.357142857142857</v>
      </c>
      <c r="L8" s="8" t="n">
        <f aca="false">IF(H9=0,0,H8/H9)</f>
        <v>0.142857142857143</v>
      </c>
      <c r="N8" s="16" t="s">
        <v>18</v>
      </c>
      <c r="O8" s="7" t="n">
        <f aca="false">SUM(K8:L8)</f>
        <v>0.5</v>
      </c>
      <c r="P8" s="17" t="n">
        <f aca="false">IF(SUM(O$6:O$8)=0,0,O8/SUM(O$6:O$8))</f>
        <v>0.25</v>
      </c>
      <c r="Q8" s="10" t="n">
        <f aca="false">RANK(P8,P$6:P$8,0)</f>
        <v>3</v>
      </c>
      <c r="R8" s="11"/>
      <c r="S8" s="18" t="n">
        <f aca="false">P8</f>
        <v>0.25</v>
      </c>
    </row>
    <row r="9" customFormat="false" ht="18" hidden="false" customHeight="true" outlineLevel="0" collapsed="false">
      <c r="B9" s="19" t="s">
        <v>19</v>
      </c>
      <c r="F9" s="19" t="s">
        <v>19</v>
      </c>
      <c r="G9" s="20" t="n">
        <f aca="false">SUM(G6:G8)</f>
        <v>0.98</v>
      </c>
      <c r="H9" s="20" t="n">
        <f aca="false">SUM(H6:H8)</f>
        <v>0.84</v>
      </c>
      <c r="J9" s="19" t="s">
        <v>20</v>
      </c>
      <c r="K9" s="20" t="n">
        <f aca="false">SUM(K6:K8)</f>
        <v>1</v>
      </c>
      <c r="L9" s="20" t="n">
        <f aca="false">SUM(L6:L8)</f>
        <v>1</v>
      </c>
    </row>
    <row r="10" customFormat="false" ht="21.75" hidden="false" customHeight="true" outlineLevel="0" collapsed="false">
      <c r="B10" s="21" t="s">
        <v>21</v>
      </c>
      <c r="C10" s="6" t="n">
        <v>0.7</v>
      </c>
      <c r="D10" s="6" t="n">
        <v>-0.6</v>
      </c>
    </row>
    <row r="12" customFormat="false" ht="19.5" hidden="false" customHeight="true" outlineLevel="0" collapsed="false">
      <c r="N12" s="10" t="s">
        <v>22</v>
      </c>
      <c r="O12" s="20" t="n">
        <f aca="false">SUM(O6:O8)</f>
        <v>2</v>
      </c>
      <c r="P12" s="22" t="n">
        <f aca="false">SUM(P6:P8)</f>
        <v>1</v>
      </c>
    </row>
    <row r="14" customFormat="false" ht="15.75" hidden="false" customHeight="true" outlineLevel="0" collapsed="false">
      <c r="B14" s="23" t="s">
        <v>23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</sheetData>
  <mergeCells count="10">
    <mergeCell ref="B1:S1"/>
    <mergeCell ref="B3:D3"/>
    <mergeCell ref="F3:H3"/>
    <mergeCell ref="J3:L3"/>
    <mergeCell ref="N3:S3"/>
    <mergeCell ref="B4:D4"/>
    <mergeCell ref="F4:H4"/>
    <mergeCell ref="J4:L4"/>
    <mergeCell ref="N4:S4"/>
    <mergeCell ref="B14:S14"/>
  </mergeCells>
  <conditionalFormatting sqref="S6:S8">
    <cfRule type="colorScale" priority="2">
      <colorScale>
        <cfvo type="num" val="0"/>
        <cfvo type="num" val="0.5"/>
        <color rgb="FFFFFFFF"/>
        <color rgb="FF7F7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2026-05-24T03:35:09Z</dcterms:created>
  <dc:creator>openpyxl</dc:creator>
  <dc:description/>
  <dc:language>en-US</dc:language>
  <cp:lastModifiedBy/>
  <dcterms:modified xsi:type="dcterms:W3CDTF">2026-05-24T03:35:09Z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