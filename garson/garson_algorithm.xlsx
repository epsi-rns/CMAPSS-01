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eights" sheetId="2" state="visible" r:id="rId4"/>
    <sheet name="Step1_CW" sheetId="3" state="visible" r:id="rId5"/>
    <sheet name="Step2_RC" sheetId="4" state="visible" r:id="rId6"/>
    <sheet name="Step3_R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<sst xmlns="http://schemas.openxmlformats.org/spreadsheetml/2006/main" count="64" uniqueCount="45">
  <si>
    <t xml:space="preserve">Garson's Algorithm — Neural Network Variable Importance</t>
  </si>
  <si>
    <t xml:space="preserve">PURPOSE</t>
  </si>
  <si>
    <t xml:space="preserve">This workbook computes the relative importance of input variables in a</t>
  </si>
  <si>
    <t xml:space="preserve">trained single-hidden-layer neural network using Garson (1991).</t>
  </si>
  <si>
    <t xml:space="preserve">SHEETS</t>
  </si>
  <si>
    <t xml:space="preserve">► Weights      — Enter your trained network weights here (blue cells)</t>
  </si>
  <si>
    <t xml:space="preserve">► Step1_CW     — Connection weight matrix  |W_ih| × |W_ho|</t>
  </si>
  <si>
    <t xml:space="preserve">► Step2_RC     — Relative contribution (column-normalised)</t>
  </si>
  <si>
    <t xml:space="preserve">► Step3_RI     — Row sums → relative importance scores</t>
  </si>
  <si>
    <t xml:space="preserve">HOW TO USE</t>
  </si>
  <si>
    <t xml:space="preserve">1. Go to the Weights sheet.</t>
  </si>
  <si>
    <t xml:space="preserve">2. Edit the blue input cells (rows/columns of weights).</t>
  </si>
  <si>
    <t xml:space="preserve">3. All downstream sheets recalculate automatically.</t>
  </si>
  <si>
    <t xml:space="preserve">4. View the bar chart on Step3_RI for the final result.</t>
  </si>
  <si>
    <t xml:space="preserve">NETWORK TOPOLOGY (default example)</t>
  </si>
  <si>
    <t xml:space="preserve">  3 inputs  →  2 hidden nodes  →  1 output</t>
  </si>
  <si>
    <t xml:space="preserve">  Weights taken from the interactive example in the conversation.</t>
  </si>
  <si>
    <t xml:space="preserve">LIMITATIONS</t>
  </si>
  <si>
    <t xml:space="preserve">• Works only for 1 hidden layer and 1 output node.</t>
  </si>
  <si>
    <t xml:space="preserve">• Direction of effect (positive/negative) is lost (absolute values used).</t>
  </si>
  <si>
    <t xml:space="preserve">• Skip-layer connections are not supported.</t>
  </si>
  <si>
    <t xml:space="preserve">Network Weights (edit blue cells)</t>
  </si>
  <si>
    <t xml:space="preserve">Section A — Input → Hidden  (W_ih)</t>
  </si>
  <si>
    <t xml:space="preserve">H1</t>
  </si>
  <si>
    <t xml:space="preserve">H2</t>
  </si>
  <si>
    <t xml:space="preserve">X1</t>
  </si>
  <si>
    <t xml:space="preserve">X2</t>
  </si>
  <si>
    <t xml:space="preserve">X3</t>
  </si>
  <si>
    <t xml:space="preserve">Section B — Hidden → Output  (W_ho)</t>
  </si>
  <si>
    <t xml:space="preserve">Output</t>
  </si>
  <si>
    <t xml:space="preserve">Blue cells are inputs. Edit any value — all downstream sheets recalculate.</t>
  </si>
  <si>
    <t xml:space="preserve">Step 1 — Connection Weight Matrix  CW[i,j] = |W_ih[i,j]| × |W_ho[j]|</t>
  </si>
  <si>
    <t xml:space="preserve">Each cell = absolute value of input→hidden weight × absolute value of hidden→output weight</t>
  </si>
  <si>
    <t xml:space="preserve">Col sum</t>
  </si>
  <si>
    <t xml:space="preserve">Step 2 — Relative Contribution  RC[i,j] = CW[i,j] / Σ_i CW[i,j]</t>
  </si>
  <si>
    <t xml:space="preserve">Each cell = CW[i,j] divided by the column sum — gives the fractional contribution of each input to each hidden node</t>
  </si>
  <si>
    <t xml:space="preserve">↑ Column sums should all equal 1.000</t>
  </si>
  <si>
    <t xml:space="preserve">Step 3 &amp; 4 — Relative Importance (Garson 1991)</t>
  </si>
  <si>
    <t xml:space="preserve">Input</t>
  </si>
  <si>
    <t xml:space="preserve">Row sum (S)</t>
  </si>
  <si>
    <t xml:space="preserve">Rel. importance</t>
  </si>
  <si>
    <t xml:space="preserve">Rank</t>
  </si>
  <si>
    <t xml:space="preserve">Total</t>
  </si>
  <si>
    <t xml:space="preserve">Visual bar (data bar)</t>
  </si>
  <si>
    <t xml:space="preserve">Garson (1991): importance = absolute magnitude 0–1. Direction of effect cannot be determined from weights alone.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</si>
</sst>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444441"/>
      <name val="Arial"/>
      <family val="0"/>
      <charset val="1"/>
    </font>
    <font>
      <sz val="11"/>
      <color rgb="FF5F5E5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7F77DD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5F5E5A"/>
      <name val="Arial"/>
      <family val="0"/>
      <charset val="1"/>
    </font>
    <font>
      <b val="true"/>
      <sz val="12"/>
      <color rgb="FF7F77DD"/>
      <name val="Arial"/>
      <family val="0"/>
      <charset val="1"/>
    </font>
    <font>
      <b val="true"/>
      <sz val="12"/>
      <color rgb="FF1D9E75"/>
      <name val="Arial"/>
      <family val="0"/>
      <charset val="1"/>
    </font>
    <font>
      <b val="true"/>
      <sz val="12"/>
      <color rgb="FFD85A30"/>
      <name val="Arial"/>
      <family val="0"/>
      <charset val="1"/>
    </font>
    <font>
      <b val="true"/>
      <sz val="10"/>
      <color rgb="FF5F5E5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C3489"/>
        <bgColor rgb="FF444441"/>
      </patternFill>
    </fill>
    <fill>
      <patternFill patternType="solid">
        <fgColor rgb="FFFFFFFF"/>
        <bgColor rgb="FFF9F8FF"/>
      </patternFill>
    </fill>
    <fill>
      <patternFill patternType="solid">
        <fgColor rgb="FFF1EFE8"/>
        <bgColor rgb="FFFAECE7"/>
      </patternFill>
    </fill>
    <fill>
      <patternFill patternType="solid">
        <fgColor rgb="FFEEEDFE"/>
        <bgColor rgb="FFEEF3FF"/>
      </patternFill>
    </fill>
    <fill>
      <patternFill patternType="solid">
        <fgColor rgb="FFEEF3FF"/>
        <bgColor rgb="FFEEEDFE"/>
      </patternFill>
    </fill>
    <fill>
      <patternFill patternType="solid">
        <fgColor rgb="FFE1F5EE"/>
        <bgColor rgb="FFEEF3FF"/>
      </patternFill>
    </fill>
    <fill>
      <patternFill patternType="solid">
        <fgColor rgb="FFFAECE7"/>
        <bgColor rgb="FFF1EFE8"/>
      </patternFill>
    </fill>
    <fill>
      <patternFill patternType="solid">
        <fgColor rgb="FFF9F8FF"/>
        <bgColor rgb="FFF0FBF6"/>
      </patternFill>
    </fill>
    <fill>
      <patternFill patternType="solid">
        <fgColor rgb="FFF0FBF6"/>
        <bgColor rgb="FFF9F8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7DD"/>
      <rgbColor rgb="FF9999FF"/>
      <rgbColor rgb="FF993366"/>
      <rgbColor rgb="FFF0FBF6"/>
      <rgbColor rgb="FFE1F5EE"/>
      <rgbColor rgb="FF660066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F"/>
      <rgbColor rgb="FFF1EFE8"/>
      <rgbColor rgb="FFFAECE7"/>
      <rgbColor rgb="FF99CCFF"/>
      <rgbColor rgb="FFFF99CC"/>
      <rgbColor rgb="FFCC99FF"/>
      <rgbColor rgb="FFF9F8FF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03366"/>
      <rgbColor rgb="FF1D9E75"/>
      <rgbColor rgb="FF003300"/>
      <rgbColor rgb="FF333300"/>
      <rgbColor rgb="FF993300"/>
      <rgbColor rgb="FF993366"/>
      <rgbColor rgb="FF3C348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</cols>
  <sheetData>
    <row r="1" customFormat="false" ht="27.75" hidden="false" customHeight="true" outlineLevel="0" collapsed="false">
      <c r="B1" s="1" t="s">
        <v>0</v>
      </c>
    </row>
    <row r="2" customFormat="false" ht="18" hidden="false" customHeight="true" outlineLevel="0" collapsed="false">
      <c r="B2" s="2"/>
    </row>
    <row r="3" customFormat="false" ht="18" hidden="false" customHeight="true" outlineLevel="0" collapsed="false">
      <c r="B3" s="3" t="s">
        <v>1</v>
      </c>
    </row>
    <row r="4" customFormat="false" ht="18" hidden="false" customHeight="true" outlineLevel="0" collapsed="false">
      <c r="B4" s="4" t="s">
        <v>2</v>
      </c>
    </row>
    <row r="5" customFormat="false" ht="18" hidden="false" customHeight="true" outlineLevel="0" collapsed="false">
      <c r="B5" s="4" t="s">
        <v>3</v>
      </c>
    </row>
    <row r="6" customFormat="false" ht="18" hidden="false" customHeight="true" outlineLevel="0" collapsed="false">
      <c r="B6" s="2"/>
    </row>
    <row r="7" customFormat="false" ht="21.75" hidden="false" customHeight="true" outlineLevel="0" collapsed="false">
      <c r="B7" s="3" t="s">
        <v>4</v>
      </c>
    </row>
    <row r="8" customFormat="false" ht="18" hidden="false" customHeight="true" outlineLevel="0" collapsed="false">
      <c r="B8" s="4" t="s">
        <v>5</v>
      </c>
    </row>
    <row r="9" customFormat="false" ht="18" hidden="false" customHeight="true" outlineLevel="0" collapsed="false">
      <c r="B9" s="4" t="s">
        <v>6</v>
      </c>
    </row>
    <row r="10" customFormat="false" ht="18" hidden="false" customHeight="true" outlineLevel="0" collapsed="false">
      <c r="B10" s="4" t="s">
        <v>7</v>
      </c>
    </row>
    <row r="11" customFormat="false" ht="18" hidden="false" customHeight="true" outlineLevel="0" collapsed="false">
      <c r="B11" s="4" t="s">
        <v>8</v>
      </c>
    </row>
    <row r="12" customFormat="false" ht="18" hidden="false" customHeight="true" outlineLevel="0" collapsed="false">
      <c r="B12" s="2"/>
    </row>
    <row r="13" customFormat="false" ht="18" hidden="false" customHeight="true" outlineLevel="0" collapsed="false">
      <c r="B13" s="3" t="s">
        <v>9</v>
      </c>
    </row>
    <row r="14" customFormat="false" ht="18" hidden="false" customHeight="true" outlineLevel="0" collapsed="false">
      <c r="B14" s="4" t="s">
        <v>10</v>
      </c>
    </row>
    <row r="15" customFormat="false" ht="18" hidden="false" customHeight="true" outlineLevel="0" collapsed="false">
      <c r="B15" s="4" t="s">
        <v>11</v>
      </c>
    </row>
    <row r="16" customFormat="false" ht="18" hidden="false" customHeight="true" outlineLevel="0" collapsed="false">
      <c r="B16" s="4" t="s">
        <v>12</v>
      </c>
    </row>
    <row r="17" customFormat="false" ht="18" hidden="false" customHeight="true" outlineLevel="0" collapsed="false">
      <c r="B17" s="4" t="s">
        <v>13</v>
      </c>
    </row>
    <row r="18" customFormat="false" ht="18" hidden="false" customHeight="true" outlineLevel="0" collapsed="false">
      <c r="B18" s="2"/>
    </row>
    <row r="19" customFormat="false" ht="18" hidden="false" customHeight="true" outlineLevel="0" collapsed="false">
      <c r="B19" s="3" t="s">
        <v>14</v>
      </c>
    </row>
    <row r="20" customFormat="false" ht="18" hidden="false" customHeight="true" outlineLevel="0" collapsed="false">
      <c r="B20" s="5" t="s">
        <v>15</v>
      </c>
    </row>
    <row r="21" customFormat="false" ht="18" hidden="false" customHeight="true" outlineLevel="0" collapsed="false">
      <c r="B21" s="5" t="s">
        <v>16</v>
      </c>
    </row>
    <row r="22" customFormat="false" ht="18" hidden="false" customHeight="true" outlineLevel="0" collapsed="false">
      <c r="B22" s="2"/>
    </row>
    <row r="23" customFormat="false" ht="18" hidden="false" customHeight="true" outlineLevel="0" collapsed="false">
      <c r="B23" s="3" t="s">
        <v>17</v>
      </c>
    </row>
    <row r="24" customFormat="false" ht="18" hidden="false" customHeight="true" outlineLevel="0" collapsed="false">
      <c r="B24" s="4" t="s">
        <v>18</v>
      </c>
    </row>
    <row r="25" customFormat="false" ht="18" hidden="false" customHeight="true" outlineLevel="0" collapsed="false">
      <c r="B25" s="4" t="s">
        <v>19</v>
      </c>
    </row>
    <row r="26" customFormat="false" ht="18" hidden="false" customHeight="true" outlineLevel="0" collapsed="false">
      <c r="B2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14"/>
  </cols>
  <sheetData>
    <row r="1" customFormat="false" ht="27.75" hidden="false" customHeight="true" outlineLevel="0" collapsed="false">
      <c r="B1" s="6" t="s">
        <v>21</v>
      </c>
      <c r="C1" s="6"/>
      <c r="D1" s="6"/>
      <c r="E1" s="6"/>
    </row>
    <row r="3" customFormat="false" ht="15" hidden="false" customHeight="true" outlineLevel="0" collapsed="false">
      <c r="B3" s="7" t="s">
        <v>22</v>
      </c>
      <c r="C3" s="7"/>
      <c r="D3" s="7"/>
      <c r="E3" s="7"/>
    </row>
    <row r="4" customFormat="false" ht="15" hidden="false" customHeight="false" outlineLevel="0" collapsed="false">
      <c r="B4" s="8"/>
      <c r="C4" s="8" t="s">
        <v>23</v>
      </c>
      <c r="D4" s="8" t="s">
        <v>24</v>
      </c>
    </row>
    <row r="5" customFormat="false" ht="19.5" hidden="false" customHeight="true" outlineLevel="0" collapsed="false">
      <c r="B5" s="9" t="s">
        <v>25</v>
      </c>
      <c r="C5" s="10" t="n">
        <v>0.8</v>
      </c>
      <c r="D5" s="10" t="n">
        <v>-0.3</v>
      </c>
    </row>
    <row r="6" customFormat="false" ht="19.5" hidden="false" customHeight="true" outlineLevel="0" collapsed="false">
      <c r="B6" s="11" t="s">
        <v>26</v>
      </c>
      <c r="C6" s="10" t="n">
        <v>0.1</v>
      </c>
      <c r="D6" s="10" t="n">
        <v>0.9</v>
      </c>
    </row>
    <row r="7" customFormat="false" ht="19.5" hidden="false" customHeight="true" outlineLevel="0" collapsed="false">
      <c r="B7" s="12" t="s">
        <v>27</v>
      </c>
      <c r="C7" s="10" t="n">
        <v>-0.5</v>
      </c>
      <c r="D7" s="10" t="n">
        <v>0.2</v>
      </c>
    </row>
    <row r="9" customFormat="false" ht="15" hidden="false" customHeight="true" outlineLevel="0" collapsed="false">
      <c r="B9" s="7" t="s">
        <v>28</v>
      </c>
      <c r="C9" s="7"/>
      <c r="D9" s="7"/>
      <c r="E9" s="7"/>
    </row>
    <row r="10" customFormat="false" ht="15" hidden="false" customHeight="false" outlineLevel="0" collapsed="false">
      <c r="B10" s="8"/>
      <c r="C10" s="8" t="s">
        <v>23</v>
      </c>
      <c r="D10" s="8" t="s">
        <v>24</v>
      </c>
    </row>
    <row r="11" customFormat="false" ht="19.5" hidden="false" customHeight="true" outlineLevel="0" collapsed="false">
      <c r="B11" s="13" t="s">
        <v>29</v>
      </c>
      <c r="C11" s="10" t="n">
        <v>0.7</v>
      </c>
      <c r="D11" s="10" t="n">
        <v>-0.6</v>
      </c>
    </row>
    <row r="13" customFormat="false" ht="15" hidden="false" customHeight="false" outlineLevel="0" collapsed="false">
      <c r="B13" s="14" t="s">
        <v>30</v>
      </c>
      <c r="C13" s="14"/>
      <c r="D13" s="14"/>
      <c r="E13" s="14"/>
    </row>
  </sheetData>
  <mergeCells count="4">
    <mergeCell ref="B1:E1"/>
    <mergeCell ref="B3:E3"/>
    <mergeCell ref="B9:E9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6"/>
  </cols>
  <sheetData>
    <row r="1" customFormat="false" ht="27.75" hidden="false" customHeight="true" outlineLevel="0" collapsed="false">
      <c r="B1" s="15" t="s">
        <v>31</v>
      </c>
      <c r="C1" s="15"/>
      <c r="D1" s="15"/>
      <c r="E1" s="15"/>
    </row>
    <row r="2" customFormat="false" ht="23.85" hidden="false" customHeight="true" outlineLevel="0" collapsed="false">
      <c r="B2" s="16" t="s">
        <v>32</v>
      </c>
      <c r="C2" s="16"/>
      <c r="D2" s="16"/>
      <c r="E2" s="16"/>
    </row>
    <row r="3" customFormat="false" ht="15" hidden="false" customHeight="false" outlineLevel="0" collapsed="false">
      <c r="B3" s="8"/>
      <c r="C3" s="8" t="s">
        <v>23</v>
      </c>
      <c r="D3" s="8" t="s">
        <v>24</v>
      </c>
    </row>
    <row r="4" customFormat="false" ht="19.5" hidden="false" customHeight="true" outlineLevel="0" collapsed="false">
      <c r="B4" s="9" t="s">
        <v>25</v>
      </c>
      <c r="C4" s="17" t="n">
        <f aca="false">ABS(Weights!C5)*ABS(Weights!C11)</f>
        <v>0.56</v>
      </c>
      <c r="D4" s="17" t="n">
        <f aca="false">ABS(Weights!D5)*ABS(Weights!D11)</f>
        <v>0.18</v>
      </c>
    </row>
    <row r="5" customFormat="false" ht="19.5" hidden="false" customHeight="true" outlineLevel="0" collapsed="false">
      <c r="B5" s="11" t="s">
        <v>26</v>
      </c>
      <c r="C5" s="17" t="n">
        <f aca="false">ABS(Weights!C6)*ABS(Weights!C11)</f>
        <v>0.07</v>
      </c>
      <c r="D5" s="17" t="n">
        <f aca="false">ABS(Weights!D6)*ABS(Weights!D11)</f>
        <v>0.54</v>
      </c>
    </row>
    <row r="6" customFormat="false" ht="19.5" hidden="false" customHeight="true" outlineLevel="0" collapsed="false">
      <c r="B6" s="12" t="s">
        <v>27</v>
      </c>
      <c r="C6" s="17" t="n">
        <f aca="false">ABS(Weights!C7)*ABS(Weights!C11)</f>
        <v>0.35</v>
      </c>
      <c r="D6" s="17" t="n">
        <f aca="false">ABS(Weights!D7)*ABS(Weights!D11)</f>
        <v>0.12</v>
      </c>
    </row>
    <row r="7" customFormat="false" ht="15" hidden="false" customHeight="false" outlineLevel="0" collapsed="false">
      <c r="B7" s="18" t="s">
        <v>33</v>
      </c>
      <c r="C7" s="19" t="n">
        <f aca="false">SUM(C4:C6)</f>
        <v>0.98</v>
      </c>
      <c r="D7" s="19" t="n">
        <f aca="false">SUM(D4:D6)</f>
        <v>0.84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6"/>
  </cols>
  <sheetData>
    <row r="1" customFormat="false" ht="27.75" hidden="false" customHeight="true" outlineLevel="0" collapsed="false">
      <c r="B1" s="15" t="s">
        <v>34</v>
      </c>
      <c r="C1" s="15"/>
      <c r="D1" s="15"/>
      <c r="E1" s="15"/>
    </row>
    <row r="2" customFormat="false" ht="23.85" hidden="false" customHeight="true" outlineLevel="0" collapsed="false">
      <c r="B2" s="16" t="s">
        <v>35</v>
      </c>
      <c r="C2" s="16"/>
      <c r="D2" s="16"/>
      <c r="E2" s="16"/>
    </row>
    <row r="3" customFormat="false" ht="15" hidden="false" customHeight="false" outlineLevel="0" collapsed="false">
      <c r="B3" s="8"/>
      <c r="C3" s="8" t="s">
        <v>23</v>
      </c>
      <c r="D3" s="8" t="s">
        <v>24</v>
      </c>
    </row>
    <row r="4" customFormat="false" ht="19.5" hidden="false" customHeight="true" outlineLevel="0" collapsed="false">
      <c r="B4" s="9" t="s">
        <v>25</v>
      </c>
      <c r="C4" s="20" t="n">
        <f aca="false">IF(Step1_CW!C$7=0,0,Step1_CW!C4/Step1_CW!C$7)</f>
        <v>0.571428571428571</v>
      </c>
      <c r="D4" s="20" t="n">
        <f aca="false">IF(Step1_CW!D$7=0,0,Step1_CW!D4/Step1_CW!D$7)</f>
        <v>0.214285714285714</v>
      </c>
    </row>
    <row r="5" customFormat="false" ht="19.5" hidden="false" customHeight="true" outlineLevel="0" collapsed="false">
      <c r="B5" s="11" t="s">
        <v>26</v>
      </c>
      <c r="C5" s="20" t="n">
        <f aca="false">IF(Step1_CW!C$7=0,0,Step1_CW!C5/Step1_CW!C$7)</f>
        <v>0.0714285714285714</v>
      </c>
      <c r="D5" s="20" t="n">
        <f aca="false">IF(Step1_CW!D$7=0,0,Step1_CW!D5/Step1_CW!D$7)</f>
        <v>0.642857142857143</v>
      </c>
    </row>
    <row r="6" customFormat="false" ht="19.5" hidden="false" customHeight="true" outlineLevel="0" collapsed="false">
      <c r="B6" s="12" t="s">
        <v>27</v>
      </c>
      <c r="C6" s="20" t="n">
        <f aca="false">IF(Step1_CW!C$7=0,0,Step1_CW!C6/Step1_CW!C$7)</f>
        <v>0.357142857142857</v>
      </c>
      <c r="D6" s="20" t="n">
        <f aca="false">IF(Step1_CW!D$7=0,0,Step1_CW!D6/Step1_CW!D$7)</f>
        <v>0.142857142857143</v>
      </c>
    </row>
    <row r="7" customFormat="false" ht="15" hidden="false" customHeight="false" outlineLevel="0" collapsed="false">
      <c r="B7" s="18" t="s">
        <v>33</v>
      </c>
      <c r="C7" s="19" t="n">
        <f aca="false">SUM(C4:C6)</f>
        <v>1</v>
      </c>
      <c r="D7" s="19" t="n">
        <f aca="false">SUM(D4:D6)</f>
        <v>1</v>
      </c>
    </row>
    <row r="8" customFormat="false" ht="15" hidden="false" customHeight="false" outlineLevel="0" collapsed="false">
      <c r="B8" s="14" t="s">
        <v>36</v>
      </c>
      <c r="C8" s="14"/>
      <c r="D8" s="14"/>
      <c r="E8" s="14"/>
    </row>
  </sheetData>
  <mergeCells count="3">
    <mergeCell ref="B1:E1"/>
    <mergeCell ref="B2:E2"/>
    <mergeCell ref="B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8"/>
  </cols>
  <sheetData>
    <row r="1" customFormat="false" ht="27.75" hidden="false" customHeight="true" outlineLevel="0" collapsed="false">
      <c r="B1" s="6" t="s">
        <v>37</v>
      </c>
      <c r="C1" s="6"/>
      <c r="D1" s="6"/>
      <c r="E1" s="6"/>
      <c r="F1" s="6"/>
    </row>
    <row r="2" customFormat="false" ht="15" hidden="false" customHeight="false" outlineLevel="0" collapsed="false">
      <c r="B2" s="8" t="s">
        <v>38</v>
      </c>
      <c r="C2" s="8" t="s">
        <v>39</v>
      </c>
      <c r="D2" s="8" t="s">
        <v>40</v>
      </c>
      <c r="E2" s="8" t="s">
        <v>41</v>
      </c>
    </row>
    <row r="3" customFormat="false" ht="21.75" hidden="false" customHeight="true" outlineLevel="0" collapsed="false">
      <c r="B3" s="21" t="s">
        <v>25</v>
      </c>
      <c r="C3" s="17" t="n">
        <f aca="false">SUM(Step2_RC!C4:D4)</f>
        <v>0.785714285714286</v>
      </c>
      <c r="D3" s="22" t="n">
        <f aca="false">IF(SUM(C3:C5)=0,0,C3/SUM(C$3:C$5))</f>
        <v>0.392857142857143</v>
      </c>
      <c r="E3" s="13" t="n">
        <f aca="false">RANK(D3,D$3:D$5,0)</f>
        <v>1</v>
      </c>
    </row>
    <row r="4" customFormat="false" ht="21.75" hidden="false" customHeight="true" outlineLevel="0" collapsed="false">
      <c r="B4" s="23" t="s">
        <v>26</v>
      </c>
      <c r="C4" s="17" t="n">
        <f aca="false">SUM(Step2_RC!C5:D5)</f>
        <v>0.714285714285714</v>
      </c>
      <c r="D4" s="24" t="n">
        <f aca="false">IF(SUM(C3:C5)=0,0,C4/SUM(C$3:C$5))</f>
        <v>0.357142857142857</v>
      </c>
      <c r="E4" s="13" t="n">
        <f aca="false">RANK(D4,D$3:D$5,0)</f>
        <v>2</v>
      </c>
    </row>
    <row r="5" customFormat="false" ht="21.75" hidden="false" customHeight="true" outlineLevel="0" collapsed="false">
      <c r="B5" s="25" t="s">
        <v>27</v>
      </c>
      <c r="C5" s="17" t="n">
        <f aca="false">SUM(Step2_RC!C6:D6)</f>
        <v>0.5</v>
      </c>
      <c r="D5" s="26" t="n">
        <f aca="false">IF(SUM(C3:C5)=0,0,C5/SUM(C$3:C$5))</f>
        <v>0.25</v>
      </c>
      <c r="E5" s="13" t="n">
        <f aca="false">RANK(D5,D$3:D$5,0)</f>
        <v>3</v>
      </c>
    </row>
    <row r="6" customFormat="false" ht="19.5" hidden="false" customHeight="true" outlineLevel="0" collapsed="false">
      <c r="B6" s="13" t="s">
        <v>42</v>
      </c>
      <c r="C6" s="19" t="n">
        <f aca="false">SUM(C3:C5)</f>
        <v>2</v>
      </c>
      <c r="D6" s="27" t="n">
        <f aca="false">SUM(D3:D5)</f>
        <v>1</v>
      </c>
    </row>
    <row r="8" customFormat="false" ht="15" hidden="false" customHeight="false" outlineLevel="0" collapsed="false">
      <c r="B8" s="28" t="s">
        <v>43</v>
      </c>
    </row>
    <row r="9" customFormat="false" ht="21.75" hidden="false" customHeight="true" outlineLevel="0" collapsed="false">
      <c r="B9" s="9" t="s">
        <v>25</v>
      </c>
      <c r="C9" s="29" t="n">
        <f aca="false">D3</f>
        <v>0.392857142857143</v>
      </c>
    </row>
    <row r="10" customFormat="false" ht="21.75" hidden="false" customHeight="true" outlineLevel="0" collapsed="false">
      <c r="B10" s="11" t="s">
        <v>26</v>
      </c>
      <c r="C10" s="30" t="n">
        <f aca="false">D4</f>
        <v>0.357142857142857</v>
      </c>
    </row>
    <row r="11" customFormat="false" ht="21.75" hidden="false" customHeight="true" outlineLevel="0" collapsed="false">
      <c r="B11" s="12" t="s">
        <v>27</v>
      </c>
      <c r="C11" s="31" t="n">
        <f aca="false">D5</f>
        <v>0.25</v>
      </c>
    </row>
    <row r="12" customFormat="false" ht="31.5" hidden="false" customHeight="true" outlineLevel="0" collapsed="false">
      <c r="B12" s="32" t="s">
        <v>44</v>
      </c>
      <c r="C12" s="32"/>
      <c r="D12" s="32"/>
      <c r="E12" s="32"/>
      <c r="F12" s="32"/>
    </row>
  </sheetData>
  <mergeCells count="2">
    <mergeCell ref="B1:F1"/>
    <mergeCell ref="B12:F12"/>
  </mergeCells>
  <conditionalFormatting sqref="C9:C11">
    <cfRule type="colorScale" priority="2">
      <colorScale>
        <cfvo type="num" val="0"/>
        <cfvo type="num" val="1"/>
        <color rgb="FFFFFFFF"/>
        <color rgb="FF7F7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2026-05-24T03:29:48Z</dcterms:created>
  <dc:creator>openpyxl</dc:creator>
  <dc:description/>
  <dc:language>en-US</dc:language>
  <cp:lastModifiedBy/>
  <dcterms:modified xsi:type="dcterms:W3CDTF">2026-05-24T03:29:48Z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